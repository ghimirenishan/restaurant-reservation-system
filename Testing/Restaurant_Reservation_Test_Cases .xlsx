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<sst xmlns="http://schemas.openxmlformats.org/spreadsheetml/2006/main" count="462" uniqueCount="280">
  <si>
    <t xml:space="preserve">Test Case ID</t>
  </si>
  <si>
    <t xml:space="preserve">Test Level</t>
  </si>
  <si>
    <t xml:space="preserve">Related Requirement</t>
  </si>
  <si>
    <t xml:space="preserve">Scenario Type</t>
  </si>
  <si>
    <t xml:space="preserve">Test Objective</t>
  </si>
  <si>
    <t xml:space="preserve">Preconditions</t>
  </si>
  <si>
    <t xml:space="preserve">Test Input</t>
  </si>
  <si>
    <t xml:space="preserve">Test Steps</t>
  </si>
  <si>
    <t xml:space="preserve">Expected Output</t>
  </si>
  <si>
    <t xml:space="preserve">Actual Output</t>
  </si>
  <si>
    <t xml:space="preserve">Status</t>
  </si>
  <si>
    <t xml:space="preserve">Tester</t>
  </si>
  <si>
    <t xml:space="preserve">Date Tested</t>
  </si>
  <si>
    <t xml:space="preserve">TC-U-01</t>
  </si>
  <si>
    <t xml:space="preserve">Unit</t>
  </si>
  <si>
    <t xml:space="preserve">FR-02</t>
  </si>
  <si>
    <t xml:space="preserve">Positive</t>
  </si>
  <si>
    <t xml:space="preserve">Verify a booking succeeds with a valid date, time, and party size against an available table</t>
  </si>
  <si>
    <t xml:space="preserve">Table 6 (capacity 4) is free on 2026-08-20 at 7:00 PM</t>
  </si>
  <si>
    <t xml:space="preserve">Date: 2026-08-20; Time: 7:00 PM; Party: 4; Table: 6</t>
  </si>
  <si>
    <t xml:space="preserve">1) Select date/time/party size. 2) Select Table 6. 3) Click Confirm.</t>
  </si>
  <si>
    <t xml:space="preserve">Booking is saved; a unique confirmation number is generated</t>
  </si>
  <si>
    <t xml:space="preserve">Booking saved; confirmation #RSV-3391 generated</t>
  </si>
  <si>
    <t xml:space="preserve">Pass</t>
  </si>
  <si>
    <t xml:space="preserve">Student Tester</t>
  </si>
  <si>
    <t xml:space="preserve">2026-08-11</t>
  </si>
  <si>
    <t xml:space="preserve">TC-U-02</t>
  </si>
  <si>
    <t xml:space="preserve">Negative</t>
  </si>
  <si>
    <t xml:space="preserve">Verify booking is rejected when party size exceeds the selected table's capacity</t>
  </si>
  <si>
    <t xml:space="preserve">Table 6 has a maximum capacity of 4</t>
  </si>
  <si>
    <t xml:space="preserve">Date: 2026-08-20; Time: 7:00 PM; Party: 8; Table: 6</t>
  </si>
  <si>
    <t xml:space="preserve">1) Select Table 6. 2) Enter party size of 8. 3) Click Confirm.</t>
  </si>
  <si>
    <t xml:space="preserve">Booking is blocked; validation message 'Party size exceeds table capacity' is shown</t>
  </si>
  <si>
    <t xml:space="preserve">Booking blocked; correct validation message shown</t>
  </si>
  <si>
    <t xml:space="preserve">TC-U-03</t>
  </si>
  <si>
    <t xml:space="preserve">FR-01</t>
  </si>
  <si>
    <t xml:space="preserve">Verify table search handles a malformed/malicious search string safely</t>
  </si>
  <si>
    <t xml:space="preserve">Search form is open and empty</t>
  </si>
  <si>
    <t xml:space="preserve">Date field input: "2026-13-45'; DROP TABLE reservations;--"</t>
  </si>
  <si>
    <t xml:space="preserve">1) Enter the string into the date field. 2) Submit search.</t>
  </si>
  <si>
    <t xml:space="preserve">System shows 'Invalid date format, please try again'; input is sanitized and no application error occurs</t>
  </si>
  <si>
    <t xml:space="preserve">Application returned a server error page (HTTP 500); search did not complete</t>
  </si>
  <si>
    <t xml:space="preserve">Fail</t>
  </si>
  <si>
    <t xml:space="preserve">TC-U-04</t>
  </si>
  <si>
    <t xml:space="preserve">Verify search returns only tables meeting the requested date, time, and capacity</t>
  </si>
  <si>
    <t xml:space="preserve">5 tables exist with capacities 2, 2, 4, 6, 8; all free on the requested slot</t>
  </si>
  <si>
    <t xml:space="preserve">Date: 2026-08-20; Time: 7:00 PM; Party: 5</t>
  </si>
  <si>
    <t xml:space="preserve">1) Enter search criteria. 2) Click Search.</t>
  </si>
  <si>
    <t xml:space="preserve">Only tables with capacity ≥ 5 (the 6-seat and 8-seat tables) are returned</t>
  </si>
  <si>
    <t xml:space="preserve">Two tables returned: capacity 6 and capacity 8</t>
  </si>
  <si>
    <t xml:space="preserve">TC-U-05</t>
  </si>
  <si>
    <t xml:space="preserve">FR-05</t>
  </si>
  <si>
    <t xml:space="preserve">Verify a table's status can be updated from Free to Occupied</t>
  </si>
  <si>
    <t xml:space="preserve">Table 3 status is currently Free</t>
  </si>
  <si>
    <t xml:space="preserve">Table: 3; New status: Occupied</t>
  </si>
  <si>
    <t xml:space="preserve">1) Open Table 3. 2) Select 'Occupied'. 3) Save.</t>
  </si>
  <si>
    <t xml:space="preserve">Table 3 status updates to Occupied; change is timestamped</t>
  </si>
  <si>
    <t xml:space="preserve">Status updated to Occupied at 19:04:12</t>
  </si>
  <si>
    <t xml:space="preserve">2026-08-12</t>
  </si>
  <si>
    <t xml:space="preserve">TC-U-06</t>
  </si>
  <si>
    <t xml:space="preserve">Verify an invalid table status value is rejected</t>
  </si>
  <si>
    <t xml:space="preserve">Table: 3; New status: "Reserved-ish" (not a valid enum value)</t>
  </si>
  <si>
    <t xml:space="preserve">1) Attempt to set Table 3 status to an invalid value via direct API call.</t>
  </si>
  <si>
    <t xml:space="preserve">Request is rejected with a validation error; status remains unchanged</t>
  </si>
  <si>
    <t xml:space="preserve">Request rejected; status remained Free</t>
  </si>
  <si>
    <t xml:space="preserve">TC-U-07</t>
  </si>
  <si>
    <t xml:space="preserve">FR-06</t>
  </si>
  <si>
    <t xml:space="preserve">Verify a manager can add a new table with a valid capacity</t>
  </si>
  <si>
    <t xml:space="preserve">Manager is logged in on the Table Configuration screen</t>
  </si>
  <si>
    <t xml:space="preserve">Table number: 19; Capacity: 6</t>
  </si>
  <si>
    <t xml:space="preserve">1) Click 'Add Table'. 2) Enter table number and capacity. 3) Save.</t>
  </si>
  <si>
    <t xml:space="preserve">New table is added to the layout and becomes searchable</t>
  </si>
  <si>
    <t xml:space="preserve">Table 19 added; appears in search results</t>
  </si>
  <si>
    <t xml:space="preserve">TC-U-08</t>
  </si>
  <si>
    <t xml:space="preserve">Verify a table cannot be configured with zero or negative capacity</t>
  </si>
  <si>
    <t xml:space="preserve">Table number: 20; Capacity: 0</t>
  </si>
  <si>
    <t xml:space="preserve">1) Click 'Add Table'. 2) Enter capacity of 0. 3) Save.</t>
  </si>
  <si>
    <t xml:space="preserve">Save is blocked; validation message 'Capacity must be at least 1' is shown</t>
  </si>
  <si>
    <t xml:space="preserve">Save blocked; correct validation message shown</t>
  </si>
  <si>
    <t xml:space="preserve">TC-I-01</t>
  </si>
  <si>
    <t xml:space="preserve">Integration</t>
  </si>
  <si>
    <t xml:space="preserve">FR-01; FR-02</t>
  </si>
  <si>
    <t xml:space="preserve">Verify the booking flow correctly hands off from the availability search to the booking confirmation</t>
  </si>
  <si>
    <t xml:space="preserve">Customer has just run a search returning Table 6 as available</t>
  </si>
  <si>
    <t xml:space="preserve">Selected result: Table 6, 2026-08-20, 7:00 PM, party 4</t>
  </si>
  <si>
    <t xml:space="preserve">1) From search results, click 'Book' on Table 6. 2) Confirm booking.</t>
  </si>
  <si>
    <t xml:space="preserve">Table 6 is booked using the exact date/time/party size carried over from the search, with no re-entry required</t>
  </si>
  <si>
    <t xml:space="preserve">Booking completed using carried-over search parameters</t>
  </si>
  <si>
    <t xml:space="preserve">2026-08-13</t>
  </si>
  <si>
    <t xml:space="preserve">TC-I-02</t>
  </si>
  <si>
    <t xml:space="preserve">Verify two customers cannot both successfully book the same table for the same time slot</t>
  </si>
  <si>
    <t xml:space="preserve">Table 6 is free on 2026-08-20 at 7:00 PM; two booking requests are fired within the same second</t>
  </si>
  <si>
    <t xml:space="preserve">Two simulated concurrent requests: both for Table 6, 2026-08-20, 7:00 PM</t>
  </si>
  <si>
    <t xml:space="preserve">1) Fire Request A and Request B for the same table/slot within &lt;1 second of each other.</t>
  </si>
  <si>
    <t xml:space="preserve">One request succeeds with a confirmation; the second is rejected with 'Table no longer available'</t>
  </si>
  <si>
    <t xml:space="preserve">Both requests returned a confirmation number for the same table and slot</t>
  </si>
  <si>
    <t xml:space="preserve">TC-I-03</t>
  </si>
  <si>
    <t xml:space="preserve">FR-04</t>
  </si>
  <si>
    <t xml:space="preserve">Verify a newly confirmed reservation appears on the host's daily dashboard without a manual refresh</t>
  </si>
  <si>
    <t xml:space="preserve">Host dashboard is open showing the current day's reservations</t>
  </si>
  <si>
    <t xml:space="preserve">New booking confirmed: Table 6, 2026-08-20, 7:00 PM, party 4</t>
  </si>
  <si>
    <t xml:space="preserve">1) Confirm a new booking in a separate session. 2) Observe the host dashboard.</t>
  </si>
  <si>
    <t xml:space="preserve">The new reservation appears on the dashboard within 5 seconds, grouped under the 7:00 PM slot</t>
  </si>
  <si>
    <t xml:space="preserve">Reservation appeared within 2 seconds</t>
  </si>
  <si>
    <t xml:space="preserve">TC-I-04</t>
  </si>
  <si>
    <t xml:space="preserve">Verify a table marked Occupied is excluded from customer search results</t>
  </si>
  <si>
    <t xml:space="preserve">Table 6 is currently Free and appears in search results</t>
  </si>
  <si>
    <t xml:space="preserve">Host sets Table 6 to Occupied</t>
  </si>
  <si>
    <t xml:space="preserve">1) Host marks Table 6 as Occupied. 2) Customer searches for the same date/time/party size.</t>
  </si>
  <si>
    <t xml:space="preserve">Table 6 no longer appears in the customer's search results</t>
  </si>
  <si>
    <t xml:space="preserve">Table 6 correctly excluded from results</t>
  </si>
  <si>
    <t xml:space="preserve">TC-I-05</t>
  </si>
  <si>
    <t xml:space="preserve">FR-08</t>
  </si>
  <si>
    <t xml:space="preserve">Verify a confirmed booking is correctly linked to the customer's reservation history</t>
  </si>
  <si>
    <t xml:space="preserve">Customer 'J. Sharma' is logged in and has no prior reservations</t>
  </si>
  <si>
    <t xml:space="preserve">Customer books Table 6 for 2026-08-20, 7:00 PM</t>
  </si>
  <si>
    <t xml:space="preserve">1) Complete a booking while logged in. 2) Open 'My Reservations'.</t>
  </si>
  <si>
    <t xml:space="preserve">The new reservation appears in the customer's history with status 'Upcoming'</t>
  </si>
  <si>
    <t xml:space="preserve">Reservation appeared correctly under 'Upcoming'</t>
  </si>
  <si>
    <t xml:space="preserve">2026-08-14</t>
  </si>
  <si>
    <t xml:space="preserve">TC-I-06</t>
  </si>
  <si>
    <t xml:space="preserve">FR-09</t>
  </si>
  <si>
    <t xml:space="preserve">Verify a reminder job correctly triggers 2 hours before a scheduled reservation</t>
  </si>
  <si>
    <t xml:space="preserve">A reservation is confirmed for 2026-08-20, 7:00 PM</t>
  </si>
  <si>
    <t xml:space="preserve">System clock advanced to 2026-08-20, 5:00 PM</t>
  </si>
  <si>
    <t xml:space="preserve">1) Advance system clock to exactly 2 hours before the reservation. 2) Observe reminder queue.</t>
  </si>
  <si>
    <t xml:space="preserve">A reminder notification is generated and queued for delivery</t>
  </si>
  <si>
    <t xml:space="preserve">Reminder generated and queued at 5:00:04 PM</t>
  </si>
  <si>
    <t xml:space="preserve">TC-I-07</t>
  </si>
  <si>
    <t xml:space="preserve">FR-03</t>
  </si>
  <si>
    <t xml:space="preserve">Verify modifying a reservation re-checks availability and rejects a conflicting change</t>
  </si>
  <si>
    <t xml:space="preserve">Customer's reservation is for Table 6, 2026-08-20, 7:00 PM; Table 6 is fully booked at 8:00 PM by another party</t>
  </si>
  <si>
    <t xml:space="preserve">Customer attempts to modify their reservation time to 8:00 PM on the same table</t>
  </si>
  <si>
    <t xml:space="preserve">1) Open 'Modify Reservation'. 2) Change time to 8:00 PM. 3) Save.</t>
  </si>
  <si>
    <t xml:space="preserve">Modification is blocked; message shown that the table is unavailable at the new time</t>
  </si>
  <si>
    <t xml:space="preserve">Modification blocked with correct message</t>
  </si>
  <si>
    <t xml:space="preserve">TC-I-08</t>
  </si>
  <si>
    <t xml:space="preserve">FR-07</t>
  </si>
  <si>
    <t xml:space="preserve">Verify the weekly report correctly aggregates reservation counts from underlying booking records</t>
  </si>
  <si>
    <t xml:space="preserve">12 reservations exist for the current week, spread across 4 days</t>
  </si>
  <si>
    <t xml:space="preserve">Manager requests a weekly report for the current week</t>
  </si>
  <si>
    <t xml:space="preserve">1) Open Reports. 2) Select 'This Week'. 3) Generate.</t>
  </si>
  <si>
    <t xml:space="preserve">Report totals exactly match the 12 underlying reservation records, grouped by day</t>
  </si>
  <si>
    <t xml:space="preserve">Report showed correct total of 12, correctly grouped by day</t>
  </si>
  <si>
    <t xml:space="preserve">TC-S-01</t>
  </si>
  <si>
    <t xml:space="preserve">System</t>
  </si>
  <si>
    <t xml:space="preserve">Verify the full end-to-end flow: customer searches, books, and receives confirmation</t>
  </si>
  <si>
    <t xml:space="preserve">System is in a clean staging state with a known table layout</t>
  </si>
  <si>
    <t xml:space="preserve">Customer completes search → selection → confirmation for a valid slot</t>
  </si>
  <si>
    <t xml:space="preserve">1) Search for a table. 2) Select a result. 3) Confirm booking. 4) Check for confirmation.</t>
  </si>
  <si>
    <t xml:space="preserve">Booking is confirmed with a confirmation number, and a confirmation email/SMS is sent</t>
  </si>
  <si>
    <t xml:space="preserve">Full flow completed successfully; confirmation received</t>
  </si>
  <si>
    <t xml:space="preserve">2026-08-15</t>
  </si>
  <si>
    <t xml:space="preserve">TC-S-02</t>
  </si>
  <si>
    <t xml:space="preserve">Verify a customer can successfully modify an existing reservation more than 2 hours in advance</t>
  </si>
  <si>
    <t xml:space="preserve">Customer has a confirmed reservation for 2026-08-21, 7:00 PM (more than 2 hours from now)</t>
  </si>
  <si>
    <t xml:space="preserve">Change party size from 4 to 6; new table auto-suggested</t>
  </si>
  <si>
    <t xml:space="preserve">1) Open 'Modify Reservation'. 2) Change party size to 6. 3) Confirm new table suggestion.</t>
  </si>
  <si>
    <t xml:space="preserve">Reservation updates to the new party size and table; confirmation is re-sent</t>
  </si>
  <si>
    <t xml:space="preserve">Reservation updated successfully; new confirmation sent</t>
  </si>
  <si>
    <t xml:space="preserve">TC-S-03</t>
  </si>
  <si>
    <t xml:space="preserve">Verify a cancellation requested inside the 2-hour cutoff is flagged for staff review rather than silently processed</t>
  </si>
  <si>
    <t xml:space="preserve">Customer's reservation is in 90 minutes</t>
  </si>
  <si>
    <t xml:space="preserve">Customer attempts to cancel via the app</t>
  </si>
  <si>
    <t xml:space="preserve">1) Open reservation. 2) Click Cancel. 3) Confirm.</t>
  </si>
  <si>
    <t xml:space="preserve">Cancellation is flagged as 'Late Cancellation - Pending Review' rather than immediately removed; host is notified</t>
  </si>
  <si>
    <t xml:space="preserve">Cancellation correctly flagged for review; host notification sent</t>
  </si>
  <si>
    <t xml:space="preserve">TC-S-04</t>
  </si>
  <si>
    <t xml:space="preserve">FR-04; FR-05</t>
  </si>
  <si>
    <t xml:space="preserve">Verify the host can manage an entire simulated dinner service, including status updates, using the dashboard</t>
  </si>
  <si>
    <t xml:space="preserve">Dashboard is loaded with 15 reservations across a 3-hour service window</t>
  </si>
  <si>
    <t xml:space="preserve">Host processes seatings and status changes throughout the simulated service</t>
  </si>
  <si>
    <t xml:space="preserve">1) Seat each party as they arrive. 2) Mark tables Occupied/Cleaning/Free as service progresses.</t>
  </si>
  <si>
    <t xml:space="preserve">Dashboard accurately reflects the state of all 15 reservations and their tables at the end of service</t>
  </si>
  <si>
    <t xml:space="preserve">Dashboard state matched expected end-of-service state for all 15 reservations</t>
  </si>
  <si>
    <t xml:space="preserve">TC-S-05</t>
  </si>
  <si>
    <t xml:space="preserve">NFR-Performance</t>
  </si>
  <si>
    <t xml:space="preserve">Verify table search meets the 2-second response time target under expected concurrent load</t>
  </si>
  <si>
    <t xml:space="preserve">Staging environment configured with 20 simulated concurrent users</t>
  </si>
  <si>
    <t xml:space="preserve">20 concurrent search requests fired simultaneously</t>
  </si>
  <si>
    <t xml:space="preserve">1) Run a load-testing script simulating 20 concurrent searches. 2) Record response times.</t>
  </si>
  <si>
    <t xml:space="preserve">95% of search requests return results within 2 seconds</t>
  </si>
  <si>
    <t xml:space="preserve">97% of requests returned within 2 seconds (avg 1.4s)</t>
  </si>
  <si>
    <t xml:space="preserve">2026-08-16</t>
  </si>
  <si>
    <t xml:space="preserve">TC-S-06</t>
  </si>
  <si>
    <t xml:space="preserve">Verify the reminder scheduler handles a reservation booked with less than 2 hours' notice without raising a false error</t>
  </si>
  <si>
    <t xml:space="preserve">Customer books a table for 90 minutes from now (less than the 2-hour reminder window)</t>
  </si>
  <si>
    <t xml:space="preserve">Booking confirmed for 90 minutes from current time</t>
  </si>
  <si>
    <t xml:space="preserve">1) Complete a booking 90 minutes out. 2) Observe the reminder scheduler job log.</t>
  </si>
  <si>
    <t xml:space="preserve">Scheduler recognizes the reminder window has already passed and skips it silently; no error is logged</t>
  </si>
  <si>
    <t xml:space="preserve">Scheduler logged a system error instead of skipping the job silently</t>
  </si>
  <si>
    <t xml:space="preserve">TC-S-07</t>
  </si>
  <si>
    <t xml:space="preserve">Verify a manager can generate and export a weekly report as a PDF</t>
  </si>
  <si>
    <t xml:space="preserve">Reservation data exists for the current week</t>
  </si>
  <si>
    <t xml:space="preserve">Manager requests weekly report export</t>
  </si>
  <si>
    <t xml:space="preserve">1) Open Reports. 2) Select 'This Week'. 3) Click 'Export as PDF'.</t>
  </si>
  <si>
    <t xml:space="preserve">A PDF file downloads containing the correct weekly totals and per-day breakdown</t>
  </si>
  <si>
    <t xml:space="preserve">PDF downloaded with correct data</t>
  </si>
  <si>
    <t xml:space="preserve">TC-S-08</t>
  </si>
  <si>
    <t xml:space="preserve">FR-10; NFR-Security</t>
  </si>
  <si>
    <t xml:space="preserve">Verify a non-admin staff role cannot access staff account management, and the attempt is logged</t>
  </si>
  <si>
    <t xml:space="preserve">A Host-role account is logged in (not Admin)</t>
  </si>
  <si>
    <t xml:space="preserve">Host account attempts to navigate directly to /admin/staff-accounts</t>
  </si>
  <si>
    <t xml:space="preserve">1) Log in as Host. 2) Attempt to access the staff management URL directly.</t>
  </si>
  <si>
    <t xml:space="preserve">Access is denied with a 403 message; the attempt is logged with timestamp and account ID</t>
  </si>
  <si>
    <t xml:space="preserve">Access denied; attempt logged correctly</t>
  </si>
  <si>
    <t xml:space="preserve">TC-A-01</t>
  </si>
  <si>
    <t xml:space="preserve">UAT</t>
  </si>
  <si>
    <t xml:space="preserve">Customer persona completes a full search-to-confirmation booking without assistance</t>
  </si>
  <si>
    <t xml:space="preserve">Persona: first-time customer, no account, using the web app for the first time</t>
  </si>
  <si>
    <t xml:space="preserve">Persona books a table for 4 on a Saturday evening</t>
  </si>
  <si>
    <t xml:space="preserve">1) Persona is given only the task 'book a table for 4 this Saturday evening.' 2) Observe unassisted completion.</t>
  </si>
  <si>
    <t xml:space="preserve">Persona completes the booking within 3 minutes without asking for help</t>
  </si>
  <si>
    <t xml:space="preserve">Persona completed booking in 2 minutes 40 seconds unassisted</t>
  </si>
  <si>
    <t xml:space="preserve">2026-08-17</t>
  </si>
  <si>
    <t xml:space="preserve">TC-A-02</t>
  </si>
  <si>
    <t xml:space="preserve">Host persona confirms the dashboard is usable for managing a full simulated service period</t>
  </si>
  <si>
    <t xml:space="preserve">Persona: newly trained host, 20 minutes of guided training completed</t>
  </si>
  <si>
    <t xml:space="preserve">Persona manages a simulated 2-hour dinner service on the dashboard</t>
  </si>
  <si>
    <t xml:space="preserve">1) Persona seats guests and updates table statuses for the full simulated service using only the dashboard.</t>
  </si>
  <si>
    <t xml:space="preserve">Persona rates the dashboard as 'easy' or 'very easy' to use, with no critical errors during the session</t>
  </si>
  <si>
    <t xml:space="preserve">Persona rated dashboard 'easy to use'; no critical errors</t>
  </si>
  <si>
    <t xml:space="preserve">TC-A-03</t>
  </si>
  <si>
    <t xml:space="preserve">Manager persona configures a new table layout for an added outdoor seating area</t>
  </si>
  <si>
    <t xml:space="preserve">Persona: restaurant manager, familiar with current indoor layout</t>
  </si>
  <si>
    <t xml:space="preserve">Persona adds 4 new outdoor tables with varying capacities</t>
  </si>
  <si>
    <t xml:space="preserve">1) Persona uses Table Configuration to add 4 new tables end-to-end.</t>
  </si>
  <si>
    <t xml:space="preserve">Persona successfully adds all 4 tables and confirms they appear correctly in customer search</t>
  </si>
  <si>
    <t xml:space="preserve">All 4 tables added and confirmed searchable</t>
  </si>
  <si>
    <t xml:space="preserve">TC-A-04</t>
  </si>
  <si>
    <t xml:space="preserve">FR-10</t>
  </si>
  <si>
    <t xml:space="preserve">Admin persona creates new staff accounts and assigns correct roles</t>
  </si>
  <si>
    <t xml:space="preserve">Persona: restaurant owner acting as Admin</t>
  </si>
  <si>
    <t xml:space="preserve">Persona creates 2 new staff accounts: one Host, one Kitchen Staff</t>
  </si>
  <si>
    <t xml:space="preserve">1) Persona creates both accounts and assigns the correct role to each.</t>
  </si>
  <si>
    <t xml:space="preserve">Both accounts are created with correct role-based permissions applied</t>
  </si>
  <si>
    <t xml:space="preserve">Both accounts created correctly with matching permissions</t>
  </si>
  <si>
    <t xml:space="preserve">TC-A-05</t>
  </si>
  <si>
    <t xml:space="preserve">Customer persona cancels a reservation within policy and finds the messaging clear</t>
  </si>
  <si>
    <t xml:space="preserve">Persona has a reservation more than 2 hours away</t>
  </si>
  <si>
    <t xml:space="preserve">Persona cancels via the confirmation page</t>
  </si>
  <si>
    <t xml:space="preserve">1) Persona locates and completes the cancellation without guidance.</t>
  </si>
  <si>
    <t xml:space="preserve">Persona successfully cancels and reports the confirmation messaging was clear</t>
  </si>
  <si>
    <t xml:space="preserve">Cancellation completed; persona reported messaging was clear</t>
  </si>
  <si>
    <t xml:space="preserve">2026-08-18</t>
  </si>
  <si>
    <t xml:space="preserve">TC-A-06</t>
  </si>
  <si>
    <t xml:space="preserve">Customer persona views reservation history and rebooks a previous reservation in one click</t>
  </si>
  <si>
    <t xml:space="preserve">Persona has 2 past reservations on their account</t>
  </si>
  <si>
    <t xml:space="preserve">Persona opens 'My Reservations' and selects 'Rebook' on a past visit</t>
  </si>
  <si>
    <t xml:space="preserve">1) Persona navigates to history. 2) Clicks 'Rebook' on a past entry. 3) Confirms new date/time.</t>
  </si>
  <si>
    <t xml:space="preserve">A new booking is created pre-filled with the previous party size and table preference</t>
  </si>
  <si>
    <t xml:space="preserve">New booking created with correct pre-filled details</t>
  </si>
  <si>
    <t xml:space="preserve">TC-A-07</t>
  </si>
  <si>
    <t xml:space="preserve">Manager persona reviews the peak-hour report and finds it actionable for staffing decisions</t>
  </si>
  <si>
    <t xml:space="preserve">A full week of simulated reservation data is loaded</t>
  </si>
  <si>
    <t xml:space="preserve">Persona reviews the weekly report</t>
  </si>
  <si>
    <t xml:space="preserve">1) Persona opens the weekly report and identifies the busiest 2-hour window.</t>
  </si>
  <si>
    <t xml:space="preserve">Persona correctly identifies the actual peak window and states it would inform their staffing schedule</t>
  </si>
  <si>
    <t xml:space="preserve">Persona correctly identified peak window and found the report actionable</t>
  </si>
  <si>
    <t xml:space="preserve">TC-A-08</t>
  </si>
  <si>
    <t xml:space="preserve">Customer persona attempts to book a table outside operating hours and evaluates the error messaging</t>
  </si>
  <si>
    <t xml:space="preserve">Restaurant operating hours are 11:00 AM - 10:00 PM</t>
  </si>
  <si>
    <t xml:space="preserve">Persona attempts to book a table for 11:30 PM</t>
  </si>
  <si>
    <t xml:space="preserve">1) Persona selects 11:30 PM and attempts to book.</t>
  </si>
  <si>
    <t xml:space="preserve">Booking is blocked with a message stating the restaurant's actual operating hours (11:00 AM - 10:00 PM)</t>
  </si>
  <si>
    <t xml:space="preserve">Booking blocked, but message only said 'Invalid time selected' with no operating hours shown</t>
  </si>
  <si>
    <t xml:space="preserve">TC-A-09</t>
  </si>
  <si>
    <t xml:space="preserve">Customer persona confirms a reminder notification arrives before a scheduled reservation with correct details</t>
  </si>
  <si>
    <t xml:space="preserve">Persona has a reservation scheduled exactly 2 hours from the test start time</t>
  </si>
  <si>
    <t xml:space="preserve">Persona waits for the reminder to arrive</t>
  </si>
  <si>
    <t xml:space="preserve">1) Persona holds a confirmed reservation. 2) Observe notification at the 2-hour mark.</t>
  </si>
  <si>
    <t xml:space="preserve">Persona receives a reminder containing the correct date, time, party size, and a cancellation link</t>
  </si>
  <si>
    <t xml:space="preserve">Reminder received with all correct details and working cancellation link</t>
  </si>
  <si>
    <t xml:space="preserve">2026-08-19</t>
  </si>
  <si>
    <t xml:space="preserve">Restaurant Table Reservation System — Testing Summary</t>
  </si>
  <si>
    <t xml:space="preserve">By Test Level</t>
  </si>
  <si>
    <t xml:space="preserve">Total</t>
  </si>
  <si>
    <t xml:space="preserve">Pass Rate</t>
  </si>
  <si>
    <t xml:space="preserve">TOTAL</t>
  </si>
  <si>
    <t xml:space="preserve">By Scenario Type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</si>
</sst>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.5"/>
      <name val="Arial"/>
      <family val="0"/>
      <charset val="1"/>
    </font>
    <font>
      <b val="true"/>
      <sz val="9.5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D5F5E3"/>
        <bgColor rgb="FFCCFFFF"/>
      </patternFill>
    </fill>
    <fill>
      <patternFill patternType="solid">
        <fgColor rgb="FFFADBD8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5" min="5" style="1" width="30"/>
    <col collapsed="false" customWidth="true" hidden="false" outlineLevel="0" max="7" min="6" style="1" width="26"/>
    <col collapsed="false" customWidth="true" hidden="false" outlineLevel="0" max="8" min="8" style="1" width="30"/>
    <col collapsed="false" customWidth="true" hidden="false" outlineLevel="0" max="9" min="9" style="1" width="32"/>
    <col collapsed="false" customWidth="true" hidden="false" outlineLevel="0" max="10" min="10" style="1" width="30"/>
    <col collapsed="false" customWidth="true" hidden="false" outlineLevel="0" max="11" min="11" style="1" width="8"/>
    <col collapsed="false" customWidth="true" hidden="false" outlineLevel="0" max="13" min="12" style="1" width="12"/>
  </cols>
  <sheetData>
    <row r="1" customFormat="false" ht="31.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3.25" hidden="false" customHeight="true" outlineLevel="0" collapsed="false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4" t="s">
        <v>10</v>
      </c>
      <c r="L2" s="3" t="s">
        <v>11</v>
      </c>
      <c r="M2" s="3" t="s">
        <v>12</v>
      </c>
    </row>
    <row r="3" customFormat="false" ht="34.5" hidden="false" customHeight="true" outlineLevel="0" collapsed="false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5" t="s">
        <v>23</v>
      </c>
      <c r="L3" s="3" t="s">
        <v>24</v>
      </c>
      <c r="M3" s="3" t="s">
        <v>25</v>
      </c>
    </row>
    <row r="4" customFormat="false" ht="34.5" hidden="false" customHeight="true" outlineLevel="0" collapsed="false">
      <c r="A4" s="3" t="s">
        <v>26</v>
      </c>
      <c r="B4" s="3" t="s">
        <v>14</v>
      </c>
      <c r="C4" s="3" t="s">
        <v>15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5" t="s">
        <v>23</v>
      </c>
      <c r="L4" s="3" t="s">
        <v>24</v>
      </c>
      <c r="M4" s="3" t="s">
        <v>25</v>
      </c>
    </row>
    <row r="5" customFormat="false" ht="34.5" hidden="false" customHeight="true" outlineLevel="0" collapsed="false">
      <c r="A5" s="3" t="s">
        <v>34</v>
      </c>
      <c r="B5" s="3" t="s">
        <v>14</v>
      </c>
      <c r="C5" s="3" t="s">
        <v>35</v>
      </c>
      <c r="D5" s="3" t="s">
        <v>27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  <c r="J5" s="3" t="s">
        <v>41</v>
      </c>
      <c r="K5" s="6" t="s">
        <v>42</v>
      </c>
      <c r="L5" s="3" t="s">
        <v>24</v>
      </c>
      <c r="M5" s="3" t="s">
        <v>25</v>
      </c>
    </row>
    <row r="6" customFormat="false" ht="34.5" hidden="false" customHeight="true" outlineLevel="0" collapsed="false">
      <c r="A6" s="3" t="s">
        <v>43</v>
      </c>
      <c r="B6" s="3" t="s">
        <v>14</v>
      </c>
      <c r="C6" s="3" t="s">
        <v>35</v>
      </c>
      <c r="D6" s="3" t="s">
        <v>16</v>
      </c>
      <c r="E6" s="3" t="s">
        <v>44</v>
      </c>
      <c r="F6" s="3" t="s">
        <v>45</v>
      </c>
      <c r="G6" s="3" t="s">
        <v>46</v>
      </c>
      <c r="H6" s="3" t="s">
        <v>47</v>
      </c>
      <c r="I6" s="3" t="s">
        <v>48</v>
      </c>
      <c r="J6" s="3" t="s">
        <v>49</v>
      </c>
      <c r="K6" s="5" t="s">
        <v>23</v>
      </c>
      <c r="L6" s="3" t="s">
        <v>24</v>
      </c>
      <c r="M6" s="3" t="s">
        <v>25</v>
      </c>
    </row>
    <row r="7" customFormat="false" ht="23.25" hidden="false" customHeight="true" outlineLevel="0" collapsed="false">
      <c r="A7" s="3" t="s">
        <v>50</v>
      </c>
      <c r="B7" s="3" t="s">
        <v>14</v>
      </c>
      <c r="C7" s="3" t="s">
        <v>51</v>
      </c>
      <c r="D7" s="3" t="s">
        <v>16</v>
      </c>
      <c r="E7" s="3" t="s">
        <v>52</v>
      </c>
      <c r="F7" s="3" t="s">
        <v>53</v>
      </c>
      <c r="G7" s="3" t="s">
        <v>54</v>
      </c>
      <c r="H7" s="3" t="s">
        <v>55</v>
      </c>
      <c r="I7" s="3" t="s">
        <v>56</v>
      </c>
      <c r="J7" s="3" t="s">
        <v>57</v>
      </c>
      <c r="K7" s="5" t="s">
        <v>23</v>
      </c>
      <c r="L7" s="3" t="s">
        <v>24</v>
      </c>
      <c r="M7" s="3" t="s">
        <v>58</v>
      </c>
    </row>
    <row r="8" customFormat="false" ht="34.5" hidden="false" customHeight="true" outlineLevel="0" collapsed="false">
      <c r="A8" s="3" t="s">
        <v>59</v>
      </c>
      <c r="B8" s="3" t="s">
        <v>14</v>
      </c>
      <c r="C8" s="3" t="s">
        <v>51</v>
      </c>
      <c r="D8" s="3" t="s">
        <v>27</v>
      </c>
      <c r="E8" s="3" t="s">
        <v>60</v>
      </c>
      <c r="F8" s="3" t="s">
        <v>53</v>
      </c>
      <c r="G8" s="3" t="s">
        <v>61</v>
      </c>
      <c r="H8" s="3" t="s">
        <v>62</v>
      </c>
      <c r="I8" s="3" t="s">
        <v>63</v>
      </c>
      <c r="J8" s="3" t="s">
        <v>64</v>
      </c>
      <c r="K8" s="5" t="s">
        <v>23</v>
      </c>
      <c r="L8" s="3" t="s">
        <v>24</v>
      </c>
      <c r="M8" s="3" t="s">
        <v>58</v>
      </c>
    </row>
    <row r="9" customFormat="false" ht="23.25" hidden="false" customHeight="true" outlineLevel="0" collapsed="false">
      <c r="A9" s="3" t="s">
        <v>65</v>
      </c>
      <c r="B9" s="3" t="s">
        <v>14</v>
      </c>
      <c r="C9" s="3" t="s">
        <v>66</v>
      </c>
      <c r="D9" s="3" t="s">
        <v>16</v>
      </c>
      <c r="E9" s="3" t="s">
        <v>67</v>
      </c>
      <c r="F9" s="3" t="s">
        <v>68</v>
      </c>
      <c r="G9" s="3" t="s">
        <v>69</v>
      </c>
      <c r="H9" s="3" t="s">
        <v>70</v>
      </c>
      <c r="I9" s="3" t="s">
        <v>71</v>
      </c>
      <c r="J9" s="3" t="s">
        <v>72</v>
      </c>
      <c r="K9" s="5" t="s">
        <v>23</v>
      </c>
      <c r="L9" s="3" t="s">
        <v>24</v>
      </c>
      <c r="M9" s="3" t="s">
        <v>58</v>
      </c>
    </row>
    <row r="10" customFormat="false" ht="23.25" hidden="false" customHeight="true" outlineLevel="0" collapsed="false">
      <c r="A10" s="3" t="s">
        <v>73</v>
      </c>
      <c r="B10" s="3" t="s">
        <v>14</v>
      </c>
      <c r="C10" s="3" t="s">
        <v>66</v>
      </c>
      <c r="D10" s="3" t="s">
        <v>27</v>
      </c>
      <c r="E10" s="3" t="s">
        <v>74</v>
      </c>
      <c r="F10" s="3" t="s">
        <v>68</v>
      </c>
      <c r="G10" s="3" t="s">
        <v>75</v>
      </c>
      <c r="H10" s="3" t="s">
        <v>76</v>
      </c>
      <c r="I10" s="3" t="s">
        <v>77</v>
      </c>
      <c r="J10" s="3" t="s">
        <v>78</v>
      </c>
      <c r="K10" s="5" t="s">
        <v>23</v>
      </c>
      <c r="L10" s="3" t="s">
        <v>24</v>
      </c>
      <c r="M10" s="3" t="s">
        <v>58</v>
      </c>
    </row>
    <row r="11" customFormat="false" ht="34.5" hidden="false" customHeight="true" outlineLevel="0" collapsed="false">
      <c r="A11" s="3" t="s">
        <v>79</v>
      </c>
      <c r="B11" s="3" t="s">
        <v>80</v>
      </c>
      <c r="C11" s="3" t="s">
        <v>81</v>
      </c>
      <c r="D11" s="3" t="s">
        <v>16</v>
      </c>
      <c r="E11" s="3" t="s">
        <v>82</v>
      </c>
      <c r="F11" s="3" t="s">
        <v>83</v>
      </c>
      <c r="G11" s="3" t="s">
        <v>84</v>
      </c>
      <c r="H11" s="3" t="s">
        <v>85</v>
      </c>
      <c r="I11" s="3" t="s">
        <v>86</v>
      </c>
      <c r="J11" s="3" t="s">
        <v>87</v>
      </c>
      <c r="K11" s="5" t="s">
        <v>23</v>
      </c>
      <c r="L11" s="3" t="s">
        <v>24</v>
      </c>
      <c r="M11" s="3" t="s">
        <v>88</v>
      </c>
    </row>
    <row r="12" customFormat="false" ht="45.75" hidden="false" customHeight="true" outlineLevel="0" collapsed="false">
      <c r="A12" s="3" t="s">
        <v>89</v>
      </c>
      <c r="B12" s="3" t="s">
        <v>80</v>
      </c>
      <c r="C12" s="3" t="s">
        <v>15</v>
      </c>
      <c r="D12" s="3" t="s">
        <v>27</v>
      </c>
      <c r="E12" s="3" t="s">
        <v>90</v>
      </c>
      <c r="F12" s="3" t="s">
        <v>91</v>
      </c>
      <c r="G12" s="3" t="s">
        <v>92</v>
      </c>
      <c r="H12" s="3" t="s">
        <v>93</v>
      </c>
      <c r="I12" s="3" t="s">
        <v>94</v>
      </c>
      <c r="J12" s="3" t="s">
        <v>95</v>
      </c>
      <c r="K12" s="6" t="s">
        <v>42</v>
      </c>
      <c r="L12" s="3" t="s">
        <v>24</v>
      </c>
      <c r="M12" s="3" t="s">
        <v>88</v>
      </c>
    </row>
    <row r="13" customFormat="false" ht="34.5" hidden="false" customHeight="true" outlineLevel="0" collapsed="false">
      <c r="A13" s="3" t="s">
        <v>96</v>
      </c>
      <c r="B13" s="3" t="s">
        <v>80</v>
      </c>
      <c r="C13" s="3" t="s">
        <v>97</v>
      </c>
      <c r="D13" s="3" t="s">
        <v>16</v>
      </c>
      <c r="E13" s="3" t="s">
        <v>98</v>
      </c>
      <c r="F13" s="3" t="s">
        <v>99</v>
      </c>
      <c r="G13" s="3" t="s">
        <v>100</v>
      </c>
      <c r="H13" s="3" t="s">
        <v>101</v>
      </c>
      <c r="I13" s="3" t="s">
        <v>102</v>
      </c>
      <c r="J13" s="3" t="s">
        <v>103</v>
      </c>
      <c r="K13" s="5" t="s">
        <v>23</v>
      </c>
      <c r="L13" s="3" t="s">
        <v>24</v>
      </c>
      <c r="M13" s="3" t="s">
        <v>88</v>
      </c>
    </row>
    <row r="14" customFormat="false" ht="34.5" hidden="false" customHeight="true" outlineLevel="0" collapsed="false">
      <c r="A14" s="3" t="s">
        <v>104</v>
      </c>
      <c r="B14" s="3" t="s">
        <v>80</v>
      </c>
      <c r="C14" s="3" t="s">
        <v>51</v>
      </c>
      <c r="D14" s="3" t="s">
        <v>16</v>
      </c>
      <c r="E14" s="3" t="s">
        <v>105</v>
      </c>
      <c r="F14" s="3" t="s">
        <v>106</v>
      </c>
      <c r="G14" s="3" t="s">
        <v>107</v>
      </c>
      <c r="H14" s="3" t="s">
        <v>108</v>
      </c>
      <c r="I14" s="3" t="s">
        <v>109</v>
      </c>
      <c r="J14" s="3" t="s">
        <v>110</v>
      </c>
      <c r="K14" s="5" t="s">
        <v>23</v>
      </c>
      <c r="L14" s="3" t="s">
        <v>24</v>
      </c>
      <c r="M14" s="3" t="s">
        <v>88</v>
      </c>
    </row>
    <row r="15" customFormat="false" ht="34.5" hidden="false" customHeight="true" outlineLevel="0" collapsed="false">
      <c r="A15" s="3" t="s">
        <v>111</v>
      </c>
      <c r="B15" s="3" t="s">
        <v>80</v>
      </c>
      <c r="C15" s="3" t="s">
        <v>112</v>
      </c>
      <c r="D15" s="3" t="s">
        <v>16</v>
      </c>
      <c r="E15" s="3" t="s">
        <v>113</v>
      </c>
      <c r="F15" s="3" t="s">
        <v>114</v>
      </c>
      <c r="G15" s="3" t="s">
        <v>115</v>
      </c>
      <c r="H15" s="3" t="s">
        <v>116</v>
      </c>
      <c r="I15" s="3" t="s">
        <v>117</v>
      </c>
      <c r="J15" s="3" t="s">
        <v>118</v>
      </c>
      <c r="K15" s="5" t="s">
        <v>23</v>
      </c>
      <c r="L15" s="3" t="s">
        <v>24</v>
      </c>
      <c r="M15" s="3" t="s">
        <v>119</v>
      </c>
    </row>
    <row r="16" customFormat="false" ht="34.5" hidden="false" customHeight="true" outlineLevel="0" collapsed="false">
      <c r="A16" s="3" t="s">
        <v>120</v>
      </c>
      <c r="B16" s="3" t="s">
        <v>80</v>
      </c>
      <c r="C16" s="3" t="s">
        <v>121</v>
      </c>
      <c r="D16" s="3" t="s">
        <v>16</v>
      </c>
      <c r="E16" s="3" t="s">
        <v>122</v>
      </c>
      <c r="F16" s="3" t="s">
        <v>123</v>
      </c>
      <c r="G16" s="3" t="s">
        <v>124</v>
      </c>
      <c r="H16" s="3" t="s">
        <v>125</v>
      </c>
      <c r="I16" s="3" t="s">
        <v>126</v>
      </c>
      <c r="J16" s="3" t="s">
        <v>127</v>
      </c>
      <c r="K16" s="5" t="s">
        <v>23</v>
      </c>
      <c r="L16" s="3" t="s">
        <v>24</v>
      </c>
      <c r="M16" s="3" t="s">
        <v>119</v>
      </c>
    </row>
    <row r="17" customFormat="false" ht="45.75" hidden="false" customHeight="true" outlineLevel="0" collapsed="false">
      <c r="A17" s="3" t="s">
        <v>128</v>
      </c>
      <c r="B17" s="3" t="s">
        <v>80</v>
      </c>
      <c r="C17" s="3" t="s">
        <v>129</v>
      </c>
      <c r="D17" s="3" t="s">
        <v>27</v>
      </c>
      <c r="E17" s="3" t="s">
        <v>130</v>
      </c>
      <c r="F17" s="3" t="s">
        <v>131</v>
      </c>
      <c r="G17" s="3" t="s">
        <v>132</v>
      </c>
      <c r="H17" s="3" t="s">
        <v>133</v>
      </c>
      <c r="I17" s="3" t="s">
        <v>134</v>
      </c>
      <c r="J17" s="3" t="s">
        <v>135</v>
      </c>
      <c r="K17" s="5" t="s">
        <v>23</v>
      </c>
      <c r="L17" s="3" t="s">
        <v>24</v>
      </c>
      <c r="M17" s="3" t="s">
        <v>119</v>
      </c>
    </row>
    <row r="18" customFormat="false" ht="34.5" hidden="false" customHeight="true" outlineLevel="0" collapsed="false">
      <c r="A18" s="3" t="s">
        <v>136</v>
      </c>
      <c r="B18" s="3" t="s">
        <v>80</v>
      </c>
      <c r="C18" s="3" t="s">
        <v>137</v>
      </c>
      <c r="D18" s="3" t="s">
        <v>16</v>
      </c>
      <c r="E18" s="3" t="s">
        <v>138</v>
      </c>
      <c r="F18" s="3" t="s">
        <v>139</v>
      </c>
      <c r="G18" s="3" t="s">
        <v>140</v>
      </c>
      <c r="H18" s="3" t="s">
        <v>141</v>
      </c>
      <c r="I18" s="3" t="s">
        <v>142</v>
      </c>
      <c r="J18" s="3" t="s">
        <v>143</v>
      </c>
      <c r="K18" s="5" t="s">
        <v>23</v>
      </c>
      <c r="L18" s="3" t="s">
        <v>24</v>
      </c>
      <c r="M18" s="3" t="s">
        <v>119</v>
      </c>
    </row>
    <row r="19" customFormat="false" ht="34.5" hidden="false" customHeight="true" outlineLevel="0" collapsed="false">
      <c r="A19" s="3" t="s">
        <v>144</v>
      </c>
      <c r="B19" s="3" t="s">
        <v>145</v>
      </c>
      <c r="C19" s="3" t="s">
        <v>81</v>
      </c>
      <c r="D19" s="3" t="s">
        <v>16</v>
      </c>
      <c r="E19" s="3" t="s">
        <v>146</v>
      </c>
      <c r="F19" s="3" t="s">
        <v>147</v>
      </c>
      <c r="G19" s="3" t="s">
        <v>148</v>
      </c>
      <c r="H19" s="3" t="s">
        <v>149</v>
      </c>
      <c r="I19" s="3" t="s">
        <v>150</v>
      </c>
      <c r="J19" s="3" t="s">
        <v>151</v>
      </c>
      <c r="K19" s="5" t="s">
        <v>23</v>
      </c>
      <c r="L19" s="3" t="s">
        <v>24</v>
      </c>
      <c r="M19" s="3" t="s">
        <v>152</v>
      </c>
    </row>
    <row r="20" customFormat="false" ht="45.75" hidden="false" customHeight="true" outlineLevel="0" collapsed="false">
      <c r="A20" s="3" t="s">
        <v>153</v>
      </c>
      <c r="B20" s="3" t="s">
        <v>145</v>
      </c>
      <c r="C20" s="3" t="s">
        <v>129</v>
      </c>
      <c r="D20" s="3" t="s">
        <v>16</v>
      </c>
      <c r="E20" s="3" t="s">
        <v>154</v>
      </c>
      <c r="F20" s="3" t="s">
        <v>155</v>
      </c>
      <c r="G20" s="3" t="s">
        <v>156</v>
      </c>
      <c r="H20" s="3" t="s">
        <v>157</v>
      </c>
      <c r="I20" s="3" t="s">
        <v>158</v>
      </c>
      <c r="J20" s="3" t="s">
        <v>159</v>
      </c>
      <c r="K20" s="5" t="s">
        <v>23</v>
      </c>
      <c r="L20" s="3" t="s">
        <v>24</v>
      </c>
      <c r="M20" s="3" t="s">
        <v>152</v>
      </c>
    </row>
    <row r="21" customFormat="false" ht="45.75" hidden="false" customHeight="true" outlineLevel="0" collapsed="false">
      <c r="A21" s="3" t="s">
        <v>160</v>
      </c>
      <c r="B21" s="3" t="s">
        <v>145</v>
      </c>
      <c r="C21" s="3" t="s">
        <v>129</v>
      </c>
      <c r="D21" s="3" t="s">
        <v>27</v>
      </c>
      <c r="E21" s="3" t="s">
        <v>161</v>
      </c>
      <c r="F21" s="3" t="s">
        <v>162</v>
      </c>
      <c r="G21" s="3" t="s">
        <v>163</v>
      </c>
      <c r="H21" s="3" t="s">
        <v>164</v>
      </c>
      <c r="I21" s="3" t="s">
        <v>165</v>
      </c>
      <c r="J21" s="3" t="s">
        <v>166</v>
      </c>
      <c r="K21" s="5" t="s">
        <v>23</v>
      </c>
      <c r="L21" s="3" t="s">
        <v>24</v>
      </c>
      <c r="M21" s="3" t="s">
        <v>152</v>
      </c>
    </row>
    <row r="22" customFormat="false" ht="45.75" hidden="false" customHeight="true" outlineLevel="0" collapsed="false">
      <c r="A22" s="3" t="s">
        <v>167</v>
      </c>
      <c r="B22" s="3" t="s">
        <v>145</v>
      </c>
      <c r="C22" s="3" t="s">
        <v>168</v>
      </c>
      <c r="D22" s="3" t="s">
        <v>16</v>
      </c>
      <c r="E22" s="3" t="s">
        <v>169</v>
      </c>
      <c r="F22" s="3" t="s">
        <v>170</v>
      </c>
      <c r="G22" s="3" t="s">
        <v>171</v>
      </c>
      <c r="H22" s="3" t="s">
        <v>172</v>
      </c>
      <c r="I22" s="3" t="s">
        <v>173</v>
      </c>
      <c r="J22" s="3" t="s">
        <v>174</v>
      </c>
      <c r="K22" s="5" t="s">
        <v>23</v>
      </c>
      <c r="L22" s="3" t="s">
        <v>24</v>
      </c>
      <c r="M22" s="3" t="s">
        <v>152</v>
      </c>
    </row>
    <row r="23" customFormat="false" ht="34.5" hidden="false" customHeight="true" outlineLevel="0" collapsed="false">
      <c r="A23" s="3" t="s">
        <v>175</v>
      </c>
      <c r="B23" s="3" t="s">
        <v>145</v>
      </c>
      <c r="C23" s="3" t="s">
        <v>176</v>
      </c>
      <c r="D23" s="3" t="s">
        <v>16</v>
      </c>
      <c r="E23" s="3" t="s">
        <v>177</v>
      </c>
      <c r="F23" s="3" t="s">
        <v>178</v>
      </c>
      <c r="G23" s="3" t="s">
        <v>179</v>
      </c>
      <c r="H23" s="3" t="s">
        <v>180</v>
      </c>
      <c r="I23" s="3" t="s">
        <v>181</v>
      </c>
      <c r="J23" s="3" t="s">
        <v>182</v>
      </c>
      <c r="K23" s="5" t="s">
        <v>23</v>
      </c>
      <c r="L23" s="3" t="s">
        <v>24</v>
      </c>
      <c r="M23" s="3" t="s">
        <v>183</v>
      </c>
    </row>
    <row r="24" customFormat="false" ht="45.75" hidden="false" customHeight="true" outlineLevel="0" collapsed="false">
      <c r="A24" s="3" t="s">
        <v>184</v>
      </c>
      <c r="B24" s="3" t="s">
        <v>145</v>
      </c>
      <c r="C24" s="3" t="s">
        <v>121</v>
      </c>
      <c r="D24" s="3" t="s">
        <v>27</v>
      </c>
      <c r="E24" s="3" t="s">
        <v>185</v>
      </c>
      <c r="F24" s="3" t="s">
        <v>186</v>
      </c>
      <c r="G24" s="3" t="s">
        <v>187</v>
      </c>
      <c r="H24" s="3" t="s">
        <v>188</v>
      </c>
      <c r="I24" s="3" t="s">
        <v>189</v>
      </c>
      <c r="J24" s="3" t="s">
        <v>190</v>
      </c>
      <c r="K24" s="6" t="s">
        <v>42</v>
      </c>
      <c r="L24" s="3" t="s">
        <v>24</v>
      </c>
      <c r="M24" s="3" t="s">
        <v>183</v>
      </c>
    </row>
    <row r="25" customFormat="false" ht="34.5" hidden="false" customHeight="true" outlineLevel="0" collapsed="false">
      <c r="A25" s="3" t="s">
        <v>191</v>
      </c>
      <c r="B25" s="3" t="s">
        <v>145</v>
      </c>
      <c r="C25" s="3" t="s">
        <v>137</v>
      </c>
      <c r="D25" s="3" t="s">
        <v>16</v>
      </c>
      <c r="E25" s="3" t="s">
        <v>192</v>
      </c>
      <c r="F25" s="3" t="s">
        <v>193</v>
      </c>
      <c r="G25" s="3" t="s">
        <v>194</v>
      </c>
      <c r="H25" s="3" t="s">
        <v>195</v>
      </c>
      <c r="I25" s="3" t="s">
        <v>196</v>
      </c>
      <c r="J25" s="3" t="s">
        <v>197</v>
      </c>
      <c r="K25" s="5" t="s">
        <v>23</v>
      </c>
      <c r="L25" s="3" t="s">
        <v>24</v>
      </c>
      <c r="M25" s="3" t="s">
        <v>183</v>
      </c>
    </row>
    <row r="26" customFormat="false" ht="34.5" hidden="false" customHeight="true" outlineLevel="0" collapsed="false">
      <c r="A26" s="3" t="s">
        <v>198</v>
      </c>
      <c r="B26" s="3" t="s">
        <v>145</v>
      </c>
      <c r="C26" s="3" t="s">
        <v>199</v>
      </c>
      <c r="D26" s="3" t="s">
        <v>27</v>
      </c>
      <c r="E26" s="3" t="s">
        <v>200</v>
      </c>
      <c r="F26" s="3" t="s">
        <v>201</v>
      </c>
      <c r="G26" s="3" t="s">
        <v>202</v>
      </c>
      <c r="H26" s="3" t="s">
        <v>203</v>
      </c>
      <c r="I26" s="3" t="s">
        <v>204</v>
      </c>
      <c r="J26" s="3" t="s">
        <v>205</v>
      </c>
      <c r="K26" s="5" t="s">
        <v>23</v>
      </c>
      <c r="L26" s="3" t="s">
        <v>24</v>
      </c>
      <c r="M26" s="3" t="s">
        <v>183</v>
      </c>
    </row>
    <row r="27" customFormat="false" ht="45.75" hidden="false" customHeight="true" outlineLevel="0" collapsed="false">
      <c r="A27" s="3" t="s">
        <v>206</v>
      </c>
      <c r="B27" s="3" t="s">
        <v>207</v>
      </c>
      <c r="C27" s="3" t="s">
        <v>81</v>
      </c>
      <c r="D27" s="3" t="s">
        <v>16</v>
      </c>
      <c r="E27" s="3" t="s">
        <v>208</v>
      </c>
      <c r="F27" s="3" t="s">
        <v>209</v>
      </c>
      <c r="G27" s="3" t="s">
        <v>210</v>
      </c>
      <c r="H27" s="3" t="s">
        <v>211</v>
      </c>
      <c r="I27" s="3" t="s">
        <v>212</v>
      </c>
      <c r="J27" s="3" t="s">
        <v>213</v>
      </c>
      <c r="K27" s="5" t="s">
        <v>23</v>
      </c>
      <c r="L27" s="3" t="s">
        <v>24</v>
      </c>
      <c r="M27" s="3" t="s">
        <v>214</v>
      </c>
    </row>
    <row r="28" customFormat="false" ht="45.75" hidden="false" customHeight="true" outlineLevel="0" collapsed="false">
      <c r="A28" s="3" t="s">
        <v>215</v>
      </c>
      <c r="B28" s="3" t="s">
        <v>207</v>
      </c>
      <c r="C28" s="3" t="s">
        <v>168</v>
      </c>
      <c r="D28" s="3" t="s">
        <v>16</v>
      </c>
      <c r="E28" s="3" t="s">
        <v>216</v>
      </c>
      <c r="F28" s="3" t="s">
        <v>217</v>
      </c>
      <c r="G28" s="3" t="s">
        <v>218</v>
      </c>
      <c r="H28" s="3" t="s">
        <v>219</v>
      </c>
      <c r="I28" s="3" t="s">
        <v>220</v>
      </c>
      <c r="J28" s="3" t="s">
        <v>221</v>
      </c>
      <c r="K28" s="5" t="s">
        <v>23</v>
      </c>
      <c r="L28" s="3" t="s">
        <v>24</v>
      </c>
      <c r="M28" s="3" t="s">
        <v>214</v>
      </c>
    </row>
    <row r="29" customFormat="false" ht="34.5" hidden="false" customHeight="true" outlineLevel="0" collapsed="false">
      <c r="A29" s="3" t="s">
        <v>222</v>
      </c>
      <c r="B29" s="3" t="s">
        <v>207</v>
      </c>
      <c r="C29" s="3" t="s">
        <v>66</v>
      </c>
      <c r="D29" s="3" t="s">
        <v>16</v>
      </c>
      <c r="E29" s="3" t="s">
        <v>223</v>
      </c>
      <c r="F29" s="3" t="s">
        <v>224</v>
      </c>
      <c r="G29" s="3" t="s">
        <v>225</v>
      </c>
      <c r="H29" s="3" t="s">
        <v>226</v>
      </c>
      <c r="I29" s="3" t="s">
        <v>227</v>
      </c>
      <c r="J29" s="3" t="s">
        <v>228</v>
      </c>
      <c r="K29" s="5" t="s">
        <v>23</v>
      </c>
      <c r="L29" s="3" t="s">
        <v>24</v>
      </c>
      <c r="M29" s="3" t="s">
        <v>214</v>
      </c>
    </row>
    <row r="30" customFormat="false" ht="34.5" hidden="false" customHeight="true" outlineLevel="0" collapsed="false">
      <c r="A30" s="3" t="s">
        <v>229</v>
      </c>
      <c r="B30" s="3" t="s">
        <v>207</v>
      </c>
      <c r="C30" s="3" t="s">
        <v>230</v>
      </c>
      <c r="D30" s="3" t="s">
        <v>16</v>
      </c>
      <c r="E30" s="3" t="s">
        <v>231</v>
      </c>
      <c r="F30" s="3" t="s">
        <v>232</v>
      </c>
      <c r="G30" s="3" t="s">
        <v>233</v>
      </c>
      <c r="H30" s="3" t="s">
        <v>234</v>
      </c>
      <c r="I30" s="3" t="s">
        <v>235</v>
      </c>
      <c r="J30" s="3" t="s">
        <v>236</v>
      </c>
      <c r="K30" s="5" t="s">
        <v>23</v>
      </c>
      <c r="L30" s="3" t="s">
        <v>24</v>
      </c>
      <c r="M30" s="3" t="s">
        <v>214</v>
      </c>
    </row>
    <row r="31" customFormat="false" ht="34.5" hidden="false" customHeight="true" outlineLevel="0" collapsed="false">
      <c r="A31" s="3" t="s">
        <v>237</v>
      </c>
      <c r="B31" s="3" t="s">
        <v>207</v>
      </c>
      <c r="C31" s="3" t="s">
        <v>129</v>
      </c>
      <c r="D31" s="3" t="s">
        <v>16</v>
      </c>
      <c r="E31" s="3" t="s">
        <v>238</v>
      </c>
      <c r="F31" s="3" t="s">
        <v>239</v>
      </c>
      <c r="G31" s="3" t="s">
        <v>240</v>
      </c>
      <c r="H31" s="3" t="s">
        <v>241</v>
      </c>
      <c r="I31" s="3" t="s">
        <v>242</v>
      </c>
      <c r="J31" s="3" t="s">
        <v>243</v>
      </c>
      <c r="K31" s="5" t="s">
        <v>23</v>
      </c>
      <c r="L31" s="3" t="s">
        <v>24</v>
      </c>
      <c r="M31" s="3" t="s">
        <v>244</v>
      </c>
    </row>
    <row r="32" customFormat="false" ht="34.5" hidden="false" customHeight="true" outlineLevel="0" collapsed="false">
      <c r="A32" s="3" t="s">
        <v>245</v>
      </c>
      <c r="B32" s="3" t="s">
        <v>207</v>
      </c>
      <c r="C32" s="3" t="s">
        <v>112</v>
      </c>
      <c r="D32" s="3" t="s">
        <v>16</v>
      </c>
      <c r="E32" s="3" t="s">
        <v>246</v>
      </c>
      <c r="F32" s="3" t="s">
        <v>247</v>
      </c>
      <c r="G32" s="3" t="s">
        <v>248</v>
      </c>
      <c r="H32" s="3" t="s">
        <v>249</v>
      </c>
      <c r="I32" s="3" t="s">
        <v>250</v>
      </c>
      <c r="J32" s="3" t="s">
        <v>251</v>
      </c>
      <c r="K32" s="5" t="s">
        <v>23</v>
      </c>
      <c r="L32" s="3" t="s">
        <v>24</v>
      </c>
      <c r="M32" s="3" t="s">
        <v>244</v>
      </c>
    </row>
    <row r="33" customFormat="false" ht="34.5" hidden="false" customHeight="true" outlineLevel="0" collapsed="false">
      <c r="A33" s="3" t="s">
        <v>252</v>
      </c>
      <c r="B33" s="3" t="s">
        <v>207</v>
      </c>
      <c r="C33" s="3" t="s">
        <v>137</v>
      </c>
      <c r="D33" s="3" t="s">
        <v>16</v>
      </c>
      <c r="E33" s="3" t="s">
        <v>253</v>
      </c>
      <c r="F33" s="3" t="s">
        <v>254</v>
      </c>
      <c r="G33" s="3" t="s">
        <v>255</v>
      </c>
      <c r="H33" s="3" t="s">
        <v>256</v>
      </c>
      <c r="I33" s="3" t="s">
        <v>257</v>
      </c>
      <c r="J33" s="3" t="s">
        <v>258</v>
      </c>
      <c r="K33" s="5" t="s">
        <v>23</v>
      </c>
      <c r="L33" s="3" t="s">
        <v>24</v>
      </c>
      <c r="M33" s="3" t="s">
        <v>244</v>
      </c>
    </row>
    <row r="34" customFormat="false" ht="34.5" hidden="false" customHeight="true" outlineLevel="0" collapsed="false">
      <c r="A34" s="3" t="s">
        <v>259</v>
      </c>
      <c r="B34" s="3" t="s">
        <v>207</v>
      </c>
      <c r="C34" s="3" t="s">
        <v>15</v>
      </c>
      <c r="D34" s="3" t="s">
        <v>27</v>
      </c>
      <c r="E34" s="3" t="s">
        <v>260</v>
      </c>
      <c r="F34" s="3" t="s">
        <v>261</v>
      </c>
      <c r="G34" s="3" t="s">
        <v>262</v>
      </c>
      <c r="H34" s="3" t="s">
        <v>263</v>
      </c>
      <c r="I34" s="3" t="s">
        <v>264</v>
      </c>
      <c r="J34" s="3" t="s">
        <v>265</v>
      </c>
      <c r="K34" s="6" t="s">
        <v>42</v>
      </c>
      <c r="L34" s="3" t="s">
        <v>24</v>
      </c>
      <c r="M34" s="3" t="s">
        <v>244</v>
      </c>
    </row>
    <row r="35" customFormat="false" ht="45.75" hidden="false" customHeight="true" outlineLevel="0" collapsed="false">
      <c r="A35" s="3" t="s">
        <v>266</v>
      </c>
      <c r="B35" s="3" t="s">
        <v>207</v>
      </c>
      <c r="C35" s="3" t="s">
        <v>121</v>
      </c>
      <c r="D35" s="3" t="s">
        <v>16</v>
      </c>
      <c r="E35" s="3" t="s">
        <v>267</v>
      </c>
      <c r="F35" s="3" t="s">
        <v>268</v>
      </c>
      <c r="G35" s="3" t="s">
        <v>269</v>
      </c>
      <c r="H35" s="3" t="s">
        <v>270</v>
      </c>
      <c r="I35" s="3" t="s">
        <v>271</v>
      </c>
      <c r="J35" s="3" t="s">
        <v>272</v>
      </c>
      <c r="K35" s="5" t="s">
        <v>23</v>
      </c>
      <c r="L35" s="3" t="s">
        <v>24</v>
      </c>
      <c r="M35" s="3" t="s">
        <v>273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0"/>
    <col collapsed="false" customWidth="true" hidden="false" outlineLevel="0" max="5" min="5" style="1" width="12"/>
  </cols>
  <sheetData>
    <row r="1" customFormat="false" ht="15.75" hidden="false" customHeight="true" outlineLevel="0" collapsed="false">
      <c r="A1" s="7" t="s">
        <v>274</v>
      </c>
    </row>
    <row r="3" customFormat="false" ht="15" hidden="false" customHeight="true" outlineLevel="0" collapsed="false">
      <c r="A3" s="8" t="s">
        <v>275</v>
      </c>
    </row>
    <row r="4" customFormat="false" ht="15" hidden="false" customHeight="true" outlineLevel="0" collapsed="false">
      <c r="A4" s="9" t="s">
        <v>1</v>
      </c>
      <c r="B4" s="9" t="s">
        <v>276</v>
      </c>
      <c r="C4" s="9" t="s">
        <v>23</v>
      </c>
      <c r="D4" s="9" t="s">
        <v>42</v>
      </c>
      <c r="E4" s="9" t="s">
        <v>277</v>
      </c>
    </row>
    <row r="5" customFormat="false" ht="15" hidden="false" customHeight="true" outlineLevel="0" collapsed="false">
      <c r="A5" s="1" t="s">
        <v>14</v>
      </c>
      <c r="B5" s="1" t="n">
        <f aca="false">COUNTIF('Test Cases'!B:B,A5)</f>
        <v>8</v>
      </c>
      <c r="C5" s="1" t="n">
        <f aca="false">COUNTIFS('Test Cases'!B:B,A5,'Test Cases'!K:K,"Pass")</f>
        <v>7</v>
      </c>
      <c r="D5" s="1" t="n">
        <f aca="false">COUNTIFS('Test Cases'!B:B,A5,'Test Cases'!K:K,"Fail")</f>
        <v>1</v>
      </c>
      <c r="E5" s="10" t="n">
        <f aca="false">IFERROR(C5/B5,0)</f>
        <v>0.875</v>
      </c>
    </row>
    <row r="6" customFormat="false" ht="15" hidden="false" customHeight="true" outlineLevel="0" collapsed="false">
      <c r="A6" s="1" t="s">
        <v>80</v>
      </c>
      <c r="B6" s="1" t="n">
        <f aca="false">COUNTIF('Test Cases'!B:B,A6)</f>
        <v>8</v>
      </c>
      <c r="C6" s="1" t="n">
        <f aca="false">COUNTIFS('Test Cases'!B:B,A6,'Test Cases'!K:K,"Pass")</f>
        <v>7</v>
      </c>
      <c r="D6" s="1" t="n">
        <f aca="false">COUNTIFS('Test Cases'!B:B,A6,'Test Cases'!K:K,"Fail")</f>
        <v>1</v>
      </c>
      <c r="E6" s="10" t="n">
        <f aca="false">IFERROR(C6/B6,0)</f>
        <v>0.875</v>
      </c>
    </row>
    <row r="7" customFormat="false" ht="15" hidden="false" customHeight="true" outlineLevel="0" collapsed="false">
      <c r="A7" s="1" t="s">
        <v>145</v>
      </c>
      <c r="B7" s="1" t="n">
        <f aca="false">COUNTIF('Test Cases'!B:B,A7)</f>
        <v>8</v>
      </c>
      <c r="C7" s="1" t="n">
        <f aca="false">COUNTIFS('Test Cases'!B:B,A7,'Test Cases'!K:K,"Pass")</f>
        <v>7</v>
      </c>
      <c r="D7" s="1" t="n">
        <f aca="false">COUNTIFS('Test Cases'!B:B,A7,'Test Cases'!K:K,"Fail")</f>
        <v>1</v>
      </c>
      <c r="E7" s="10" t="n">
        <f aca="false">IFERROR(C7/B7,0)</f>
        <v>0.875</v>
      </c>
    </row>
    <row r="8" customFormat="false" ht="15" hidden="false" customHeight="true" outlineLevel="0" collapsed="false">
      <c r="A8" s="1" t="s">
        <v>207</v>
      </c>
      <c r="B8" s="1" t="n">
        <f aca="false">COUNTIF('Test Cases'!B:B,A8)</f>
        <v>9</v>
      </c>
      <c r="C8" s="1" t="n">
        <f aca="false">COUNTIFS('Test Cases'!B:B,A8,'Test Cases'!K:K,"Pass")</f>
        <v>8</v>
      </c>
      <c r="D8" s="1" t="n">
        <f aca="false">COUNTIFS('Test Cases'!B:B,A8,'Test Cases'!K:K,"Fail")</f>
        <v>1</v>
      </c>
      <c r="E8" s="10" t="n">
        <f aca="false">IFERROR(C8/B8,0)</f>
        <v>0.888888888888889</v>
      </c>
    </row>
    <row r="9" customFormat="false" ht="15" hidden="false" customHeight="true" outlineLevel="0" collapsed="false">
      <c r="A9" s="11" t="s">
        <v>278</v>
      </c>
      <c r="B9" s="11" t="n">
        <f aca="false">SUM(B5:B8)</f>
        <v>33</v>
      </c>
      <c r="C9" s="11" t="n">
        <f aca="false">SUM(C5:C8)</f>
        <v>29</v>
      </c>
      <c r="D9" s="11" t="n">
        <f aca="false">SUM(D5:D8)</f>
        <v>4</v>
      </c>
      <c r="E9" s="12" t="n">
        <f aca="false">IFERROR(C9/B9,0)</f>
        <v>0.878787878787879</v>
      </c>
    </row>
    <row r="12" customFormat="false" ht="15" hidden="false" customHeight="true" outlineLevel="0" collapsed="false">
      <c r="A12" s="8" t="s">
        <v>279</v>
      </c>
    </row>
    <row r="13" customFormat="false" ht="15" hidden="false" customHeight="true" outlineLevel="0" collapsed="false">
      <c r="A13" s="9" t="s">
        <v>3</v>
      </c>
      <c r="B13" s="9" t="s">
        <v>276</v>
      </c>
      <c r="C13" s="9" t="s">
        <v>23</v>
      </c>
      <c r="D13" s="9" t="s">
        <v>42</v>
      </c>
      <c r="E13" s="9" t="s">
        <v>277</v>
      </c>
    </row>
    <row r="14" customFormat="false" ht="15" hidden="false" customHeight="true" outlineLevel="0" collapsed="false">
      <c r="A14" s="1" t="s">
        <v>16</v>
      </c>
      <c r="B14" s="1" t="n">
        <f aca="false">COUNTIF('Test Cases'!D:D,A14)</f>
        <v>23</v>
      </c>
      <c r="C14" s="1" t="n">
        <f aca="false">COUNTIFS('Test Cases'!D:D,A14,'Test Cases'!K:K,"Pass")</f>
        <v>23</v>
      </c>
      <c r="D14" s="1" t="n">
        <f aca="false">COUNTIFS('Test Cases'!D:D,A14,'Test Cases'!K:K,"Fail")</f>
        <v>0</v>
      </c>
      <c r="E14" s="10" t="n">
        <f aca="false">IFERROR(C14/B14,0)</f>
        <v>1</v>
      </c>
    </row>
    <row r="15" customFormat="false" ht="15" hidden="false" customHeight="true" outlineLevel="0" collapsed="false">
      <c r="A15" s="1" t="s">
        <v>27</v>
      </c>
      <c r="B15" s="1" t="n">
        <f aca="false">COUNTIF('Test Cases'!D:D,A15)</f>
        <v>10</v>
      </c>
      <c r="C15" s="1" t="n">
        <f aca="false">COUNTIFS('Test Cases'!D:D,A15,'Test Cases'!K:K,"Pass")</f>
        <v>6</v>
      </c>
      <c r="D15" s="1" t="n">
        <f aca="false">COUNTIFS('Test Cases'!D:D,A15,'Test Cases'!K:K,"Fail")</f>
        <v>4</v>
      </c>
      <c r="E15" s="10" t="n">
        <f aca="false">IFERROR(C15/B15,0)</f>
        <v>0.6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2026-08-17T01:10:15Z</dcterms:created>
  <dc:creator>openpyxl</dc:creator>
  <dc:description/>
  <dc:language>en-US</dc:language>
  <cp:lastModifiedBy/>
  <dcterms:modified xsi:type="dcterms:W3CDTF">2026-08-23T16:10:25Z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